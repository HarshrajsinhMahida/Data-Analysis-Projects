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C:\Users\harsh\Downloads\"/>
    </mc:Choice>
  </mc:AlternateContent>
  <xr:revisionPtr revIDLastSave="0" documentId="13_ncr:1_{5946AD71-DDF0-4ED0-A58E-B9D03B16A4B8}" xr6:coauthVersionLast="47" xr6:coauthVersionMax="47" xr10:uidLastSave="{00000000-0000-0000-0000-000000000000}"/>
  <bookViews>
    <workbookView xWindow="-105" yWindow="0" windowWidth="14610" windowHeight="15585" xr2:uid="{00000000-000D-0000-FFFF-FFFF00000000}"/>
  </bookViews>
  <sheets>
    <sheet name="Sheet2" sheetId="2" r:id="rId1"/>
    <sheet name="Sheet1" sheetId="1" r:id="rId2"/>
  </sheets>
  <definedNames>
    <definedName name="Slicer_Region">#N/A</definedName>
  </definedNames>
  <calcPr calcId="191029"/>
  <pivotCaches>
    <pivotCache cacheId="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calcChain.xml><?xml version="1.0" encoding="utf-8"?>
<calcChain xmlns="http://schemas.openxmlformats.org/spreadsheetml/2006/main">
  <c r="L16" i="1" l="1"/>
  <c r="L3" i="1"/>
  <c r="L4" i="1"/>
  <c r="L5" i="1"/>
  <c r="L6" i="1"/>
  <c r="L7" i="1"/>
  <c r="L8" i="1"/>
  <c r="L9" i="1"/>
  <c r="L10" i="1"/>
  <c r="L11" i="1"/>
  <c r="L12" i="1"/>
  <c r="L13" i="1"/>
  <c r="L14" i="1"/>
  <c r="L15" i="1"/>
  <c r="L17" i="1"/>
  <c r="L18" i="1"/>
  <c r="L19" i="1"/>
  <c r="L20" i="1"/>
  <c r="L21" i="1"/>
  <c r="L22" i="1"/>
  <c r="K22" i="1"/>
  <c r="K12" i="1"/>
  <c r="K3" i="1"/>
  <c r="K4" i="1"/>
  <c r="K5" i="1"/>
  <c r="K6" i="1"/>
  <c r="K7" i="1"/>
  <c r="K8" i="1"/>
  <c r="K9" i="1"/>
  <c r="K10" i="1"/>
  <c r="K11" i="1"/>
  <c r="K13" i="1"/>
  <c r="K14" i="1"/>
  <c r="K15" i="1"/>
  <c r="K16" i="1"/>
  <c r="K17" i="1"/>
  <c r="K18" i="1"/>
  <c r="K19" i="1"/>
  <c r="K20" i="1"/>
  <c r="K21" i="1"/>
  <c r="K2" i="1"/>
</calcChain>
</file>

<file path=xl/sharedStrings.xml><?xml version="1.0" encoding="utf-8"?>
<sst xmlns="http://schemas.openxmlformats.org/spreadsheetml/2006/main" count="96" uniqueCount="65">
  <si>
    <t>Emp Code</t>
  </si>
  <si>
    <t>Sales Executive</t>
  </si>
  <si>
    <t>Region</t>
  </si>
  <si>
    <t>Day1</t>
  </si>
  <si>
    <t>Day2</t>
  </si>
  <si>
    <t>Day3</t>
  </si>
  <si>
    <t>Day4</t>
  </si>
  <si>
    <t>Day5</t>
  </si>
  <si>
    <t>Total Sales</t>
  </si>
  <si>
    <t>Target</t>
  </si>
  <si>
    <t>Target Hit %</t>
  </si>
  <si>
    <t>Away From Target %</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</si>
  <si>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</si>
  <si>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</si>
  <si>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</si>
  <si>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</si>
  <si>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</si>
  <si>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</si>
  <si>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</si>
  <si>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</si>
  <si>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</si>
  <si>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</si>
  <si>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</si>
  <si>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</si>
  <si>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</si>
  <si>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</si>
  <si>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</si>
  <si>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</si>
  <si>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</si>
  <si>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</si>
  <si>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</si>
  <si>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</si>
  <si>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</si>
  <si>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Raj Verma</t>
  </si>
  <si>
    <t>Tanuja Kale</t>
  </si>
  <si>
    <t>Arvind Sharma</t>
  </si>
  <si>
    <t>Tahira Qureshi</t>
  </si>
  <si>
    <t>Anuj Sharma</t>
  </si>
  <si>
    <t>Syed Sohail</t>
  </si>
  <si>
    <t>Syed Saqib</t>
  </si>
  <si>
    <t>Syed Naved</t>
  </si>
  <si>
    <t>Swarnlata Borse</t>
  </si>
  <si>
    <t>Sushma Khandelwal</t>
  </si>
  <si>
    <t>Surendranath Thakur</t>
  </si>
  <si>
    <t>Surendra Kumar</t>
  </si>
  <si>
    <t>Sunita Madnani</t>
  </si>
  <si>
    <t>Sunita Chawla</t>
  </si>
  <si>
    <t>Sunil Kumar</t>
  </si>
  <si>
    <t>Sudhir Kumar</t>
  </si>
  <si>
    <t>Sudama Kumar</t>
  </si>
  <si>
    <t>Sonaram Munda</t>
  </si>
  <si>
    <t>Sneh Khan</t>
  </si>
  <si>
    <t>Shyamal Malakar</t>
  </si>
  <si>
    <t>Shubhanjali Joshi</t>
  </si>
  <si>
    <t>Mumbai</t>
  </si>
  <si>
    <t>Delhi</t>
  </si>
  <si>
    <t>Nagpur</t>
  </si>
  <si>
    <t>Chennai</t>
  </si>
  <si>
    <t>Pune</t>
  </si>
  <si>
    <t>Patna</t>
  </si>
  <si>
    <t>Ranchi</t>
  </si>
  <si>
    <t>Surat</t>
  </si>
  <si>
    <t>Total_Sales</t>
  </si>
  <si>
    <t xml:space="preserve"> </t>
  </si>
  <si>
    <t>Sum of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</si>
</sst>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sz val="11"/>
      <color theme="1"/>
      <name val="Calibri"/>
      <family val="2"/>
      <scheme val="minor"/>
    </font>
    <font>
      <sz val="8"/>
      <color rgb="FF000000"/>
      <name val="Segoe UI"/>
      <family val="2"/>
    </font>
    <font>
      <sz val="11"/>
      <color theme="0" tint="-4.9989318521683403E-2"/>
      <name val="Calibri"/>
      <family val="2"/>
      <scheme val="minor"/>
    </font>
    <font>
      <sz val="11"/>
      <color theme="0" tint="-0.499984740745262"/>
      <name val="Calibri"/>
      <family val="2"/>
      <scheme val="minor"/>
    </font>
    <font>
      <sz val="11"/>
      <color theme="0" tint="-0.1499984740745262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0">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10" fontId="0" fillId="0" borderId="0" xfId="0" applyNumberFormat="1"/>
    <xf numFmtId="0" fontId="0" fillId="2" borderId="0" xfId="0" applyFill="1"/>
    <xf numFmtId="0" fontId="3" fillId="2" borderId="0" xfId="0" applyFont="1" applyFill="1"/>
    <xf numFmtId="0" fontId="4" fillId="2" borderId="0" xfId="0" applyFont="1" applyFill="1"/>
    <xf numFmtId="0" fontId="5" fillId="2" borderId="0" xfId="0" applyFont="1" applyFill="1"/>
    <xf numFmtId="0" fontId="0" fillId="0" borderId="0" xfId="0" applyNumberFormat="1"/>
  </cellXfs>
  <cellStyles count="1">
    <cellStyle name="Normal" xfId="0" builtinId="0"/>
  </cellStyles>
  <dxfs count="1">
    <dxf>
      <fill>
        <patternFill patternType="solid">
          <fgColor auto="1"/>
          <bgColor theme="0" tint="-0.24994659260841701"/>
        </patternFill>
      </fill>
    </dxf>
  </dxfs>
  <tableStyles count="2" defaultTableStyle="TableStyleMedium9" defaultPivotStyle="PivotStyleLight16">
    <tableStyle name="Slicer Style 1" pivot="0" table="0" count="1" xr9:uid="{58FFEC16-2019-4E9D-8DE8-D93B4ACB5E31}"/>
    <tableStyle name="Slicer Style 2" pivot="0" table="0" count="3" xr9:uid="{99D02208-52BD-4357-A082-FF1C5A0F4D44}">
      <tableStyleElement type="wholeTable" dxfId="0"/>
    </tableStyle>
  </tableStyles>
  <extLst>
    <ext xmlns:x14="http://schemas.microsoft.com/office/spreadsheetml/2009/9/main" uri="{46F421CA-312F-682f-3DD2-61675219B42D}">
      <x14:dxfs count="3">
        <dxf>
          <fill>
            <patternFill>
              <bgColor theme="3" tint="0.39994506668294322"/>
            </patternFill>
          </fill>
        </dxf>
        <dxf>
          <fill>
            <patternFill>
              <bgColor rgb="FF92D050"/>
            </patternFill>
          </fill>
        </dxf>
        <dxf>
          <fill>
            <patternFill>
              <bgColor rgb="FF0070C0"/>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2"/>
          </x14:slicerStyleElements>
        </x14:slicerStyle>
        <x14:slicerStyle name="Slicer Style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[Sales_Target_Data_project.xlsm]Sheet2!PivotTable2</c:name>
    <c:fmtId val="0"/>
  </c:pivotSource>
  <c:chart>
    <c:autoTitleDeleted val="1"/>
    <c:pivotFmts>
      <c:pivotFmt>
        <c:idx val="0"/>
        <c:spPr>
          <a:solidFill>
            <a:schemeClr val="accent1"/>
          </a:solidFill>
          <a:ln>
            <a:noFill/>
          </a:ln>
          <a:effectLst/>
        </c:spPr>
        <c:marker>
          <c:symbol val="none"/>
        </c:marker>
        <c:dLbl>
          <c:idx val="0"/>
          <c:spPr>
            <a:solidFill>
              <a:schemeClr val="accent3">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chemeClr val="accent3">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Sheet2!$A$4:$A$6</c:f>
              <c:strCache>
                <c:ptCount val="3"/>
                <c:pt idx="0">
                  <c:v>Shyamal Malakar</c:v>
                </c:pt>
                <c:pt idx="1">
                  <c:v>Surendra Kumar</c:v>
                </c:pt>
                <c:pt idx="2">
                  <c:v>Tahira Qureshi</c:v>
                </c:pt>
              </c:strCache>
            </c:strRef>
          </c:cat>
          <c:val>
            <c:numRef>
              <c:f>Sheet2!$B$4:$B$6</c:f>
              <c:numCache>
                <c:formatCode>General</c:formatCode>
                <c:ptCount val="3"/>
                <c:pt idx="0">
                  <c:v>52</c:v>
                </c:pt>
                <c:pt idx="1">
                  <c:v>376</c:v>
                </c:pt>
                <c:pt idx="2">
                  <c:v>288</c:v>
                </c:pt>
              </c:numCache>
            </c:numRef>
          </c:val>
          <c:extLst>
            <c:ext xmlns:c16="http://schemas.microsoft.com/office/drawing/2014/chart" uri="{C3380CC4-5D6E-409C-BE32-E72D297353CC}">
              <c16:uniqueId val="{00000000-9712-4350-A3C9-B379734ECC58}"/>
            </c:ext>
          </c:extLst>
        </c:ser>
        <c:dLbls>
          <c:showLegendKey val="0"/>
          <c:showVal val="0"/>
          <c:showCatName val="0"/>
          <c:showSerName val="0"/>
          <c:showPercent val="0"/>
          <c:showBubbleSize val="0"/>
        </c:dLbls>
        <c:gapWidth val="182"/>
        <c:axId val="1130919680"/>
        <c:axId val="1130920160"/>
      </c:barChart>
      <c:catAx>
        <c:axId val="1130919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0920160"/>
        <c:crosses val="autoZero"/>
        <c:auto val="1"/>
        <c:lblAlgn val="ctr"/>
        <c:lblOffset val="100"/>
        <c:noMultiLvlLbl val="0"/>
      </c:catAx>
      <c:valAx>
        <c:axId val="1130920160"/>
        <c:scaling>
          <c:orientation val="minMax"/>
        </c:scaling>
        <c:delete val="1"/>
        <c:axPos val="b"/>
        <c:numFmt formatCode="General" sourceLinked="1"/>
        <c:majorTickMark val="none"/>
        <c:minorTickMark val="none"/>
        <c:tickLblPos val="nextTo"/>
        <c:crossAx val="1130919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[Sales_Target_Data_project.xlsm]Sheet2!PivotTable9</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4612265551703468"/>
          <c:y val="4.6469340294277503E-2"/>
          <c:w val="0.75247327627297067"/>
          <c:h val="0.88537252493475793"/>
        </c:manualLayout>
      </c:layout>
      <c:pieChart>
        <c:varyColors val="1"/>
        <c:ser>
          <c:idx val="0"/>
          <c:order val="0"/>
          <c:tx>
            <c:strRef>
              <c:f>Sheet2!$H$3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693-4158-A4FA-F42E9FB91C43}"/>
              </c:ext>
            </c:extLst>
          </c:dPt>
          <c:dPt>
            <c:idx val="1"/>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693-4158-A4FA-F42E9FB91C43}"/>
              </c:ext>
            </c:extLst>
          </c:dPt>
          <c:dPt>
            <c:idx val="2"/>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693-4158-A4FA-F42E9FB91C43}"/>
              </c:ext>
            </c:extLst>
          </c:dPt>
          <c:dPt>
            <c:idx val="3"/>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693-4158-A4FA-F42E9FB91C43}"/>
              </c:ext>
            </c:extLst>
          </c:dPt>
          <c:dPt>
            <c:idx val="4"/>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693-4158-A4FA-F42E9FB91C4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Sheet2!$G$4:$G$6</c:f>
              <c:strCache>
                <c:ptCount val="3"/>
                <c:pt idx="0">
                  <c:v>Shyamal Malakar</c:v>
                </c:pt>
                <c:pt idx="1">
                  <c:v>Surendra Kumar</c:v>
                </c:pt>
                <c:pt idx="2">
                  <c:v>Tahira Qureshi</c:v>
                </c:pt>
              </c:strCache>
            </c:strRef>
          </c:cat>
          <c:val>
            <c:numRef>
              <c:f>Sheet2!$H$4:$H$6</c:f>
              <c:numCache>
                <c:formatCode>General</c:formatCode>
                <c:ptCount val="3"/>
                <c:pt idx="0">
                  <c:v>52</c:v>
                </c:pt>
                <c:pt idx="1">
                  <c:v>376</c:v>
                </c:pt>
                <c:pt idx="2">
                  <c:v>288</c:v>
                </c:pt>
              </c:numCache>
            </c:numRef>
          </c:val>
          <c:extLst>
            <c:ext xmlns:c16="http://schemas.microsoft.com/office/drawing/2014/chart" uri="{C3380CC4-5D6E-409C-BE32-E72D297353CC}">
              <c16:uniqueId val="{00000000-D0DC-4624-BB61-D5A22B372A1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[Sales_Target_Data_project.xlsm]Sheet2!PivotTable3</c:name>
    <c:fmtId val="0"/>
  </c:pivotSource>
  <c:chart>
    <c:autoTitleDeleted val="1"/>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solidFill>
              <a:schemeClr val="accent3">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Sheet2!$K$3</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solidFill>
                <a:schemeClr val="accent3">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Sheet2!$J$4:$J$6</c:f>
              <c:strCache>
                <c:ptCount val="3"/>
                <c:pt idx="0">
                  <c:v>Shyamal Malakar</c:v>
                </c:pt>
                <c:pt idx="1">
                  <c:v>Surendra Kumar</c:v>
                </c:pt>
                <c:pt idx="2">
                  <c:v>Tahira Qureshi</c:v>
                </c:pt>
              </c:strCache>
            </c:strRef>
          </c:cat>
          <c:val>
            <c:numRef>
              <c:f>Sheet2!$K$4:$K$6</c:f>
              <c:numCache>
                <c:formatCode>General</c:formatCode>
                <c:ptCount val="3"/>
                <c:pt idx="0">
                  <c:v>52</c:v>
                </c:pt>
                <c:pt idx="1">
                  <c:v>376</c:v>
                </c:pt>
                <c:pt idx="2">
                  <c:v>288</c:v>
                </c:pt>
              </c:numCache>
            </c:numRef>
          </c:val>
          <c:smooth val="0"/>
          <c:extLst>
            <c:ext xmlns:c16="http://schemas.microsoft.com/office/drawing/2014/chart" uri="{C3380CC4-5D6E-409C-BE32-E72D297353CC}">
              <c16:uniqueId val="{00000000-7560-4CD4-8B83-2EC25F13A0F9}"/>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349822992"/>
        <c:axId val="1349823952"/>
      </c:lineChart>
      <c:catAx>
        <c:axId val="134982299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49823952"/>
        <c:crosses val="autoZero"/>
        <c:auto val="1"/>
        <c:lblAlgn val="ctr"/>
        <c:lblOffset val="100"/>
        <c:noMultiLvlLbl val="0"/>
      </c:catAx>
      <c:valAx>
        <c:axId val="13498239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49822992"/>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67236</xdr:colOff>
      <xdr:row>8</xdr:row>
      <xdr:rowOff>134471</xdr:rowOff>
    </xdr:from>
    <xdr:to>
      <xdr:col>5</xdr:col>
      <xdr:colOff>11206</xdr:colOff>
      <xdr:row>21</xdr:row>
      <xdr:rowOff>77321</xdr:rowOff>
    </xdr:to>
    <xdr:graphicFrame macro="">
      <xdr:nvGraphicFramePr>
        <xdr:cNvPr id="2" name="Chart 1">
          <a:extLst>
            <a:ext uri="{FF2B5EF4-FFF2-40B4-BE49-F238E27FC236}">
              <a16:creationId xmlns:a16="http://schemas.microsoft.com/office/drawing/2014/main" id="{A25D28AB-4ADD-5A30-4A02-A81990E3A8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173538</xdr:colOff>
      <xdr:row>8</xdr:row>
      <xdr:rowOff>111066</xdr:rowOff>
    </xdr:from>
    <xdr:to>
      <xdr:col>8</xdr:col>
      <xdr:colOff>27112</xdr:colOff>
      <xdr:row>21</xdr:row>
      <xdr:rowOff>72027</xdr:rowOff>
    </xdr:to>
    <xdr:graphicFrame macro="">
      <xdr:nvGraphicFramePr>
        <xdr:cNvPr id="3" name="Chart 2">
          <a:extLst>
            <a:ext uri="{FF2B5EF4-FFF2-40B4-BE49-F238E27FC236}">
              <a16:creationId xmlns:a16="http://schemas.microsoft.com/office/drawing/2014/main" id="{398A79B3-EF35-3294-C81E-631D456A0B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22411</xdr:colOff>
      <xdr:row>8</xdr:row>
      <xdr:rowOff>110920</xdr:rowOff>
    </xdr:from>
    <xdr:to>
      <xdr:col>11</xdr:col>
      <xdr:colOff>4850</xdr:colOff>
      <xdr:row>21</xdr:row>
      <xdr:rowOff>53770</xdr:rowOff>
    </xdr:to>
    <xdr:graphicFrame macro="">
      <xdr:nvGraphicFramePr>
        <xdr:cNvPr id="4" name="Chart 3">
          <a:extLst>
            <a:ext uri="{FF2B5EF4-FFF2-40B4-BE49-F238E27FC236}">
              <a16:creationId xmlns:a16="http://schemas.microsoft.com/office/drawing/2014/main" id="{2250F2BF-EA63-14D3-91FD-9AEEDBF37B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7332</xdr:colOff>
      <xdr:row>0</xdr:row>
      <xdr:rowOff>702663</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763AD3F8-1180-8B90-370E-774D48294DB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4120897" cy="70266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69954</xdr:colOff>
      <xdr:row>1</xdr:row>
      <xdr:rowOff>12925</xdr:rowOff>
    </xdr:from>
    <xdr:to>
      <xdr:col>1</xdr:col>
      <xdr:colOff>301643</xdr:colOff>
      <xdr:row>1</xdr:row>
      <xdr:rowOff>476304</xdr:rowOff>
    </xdr:to>
    <xdr:sp macro="" textlink="">
      <xdr:nvSpPr>
        <xdr:cNvPr id="5" name="Rectangle: Diagonal Corners Rounded 4">
          <a:extLst>
            <a:ext uri="{FF2B5EF4-FFF2-40B4-BE49-F238E27FC236}">
              <a16:creationId xmlns:a16="http://schemas.microsoft.com/office/drawing/2014/main" id="{6C13D5EA-BCB9-30D6-ADA7-8474CAD32C94}"/>
            </a:ext>
          </a:extLst>
        </xdr:cNvPr>
        <xdr:cNvSpPr/>
      </xdr:nvSpPr>
      <xdr:spPr>
        <a:xfrm>
          <a:off x="69954" y="915729"/>
          <a:ext cx="1937906" cy="463379"/>
        </a:xfrm>
        <a:prstGeom prst="round2Diag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392641</xdr:colOff>
      <xdr:row>1</xdr:row>
      <xdr:rowOff>5484</xdr:rowOff>
    </xdr:from>
    <xdr:to>
      <xdr:col>7</xdr:col>
      <xdr:colOff>1180944</xdr:colOff>
      <xdr:row>1</xdr:row>
      <xdr:rowOff>468863</xdr:rowOff>
    </xdr:to>
    <xdr:sp macro="" textlink="">
      <xdr:nvSpPr>
        <xdr:cNvPr id="8" name="Rectangle: Diagonal Corners Rounded 7">
          <a:extLst>
            <a:ext uri="{FF2B5EF4-FFF2-40B4-BE49-F238E27FC236}">
              <a16:creationId xmlns:a16="http://schemas.microsoft.com/office/drawing/2014/main" id="{83505F0D-5855-4FC1-B2D2-CEA658568C1F}"/>
            </a:ext>
          </a:extLst>
        </xdr:cNvPr>
        <xdr:cNvSpPr/>
      </xdr:nvSpPr>
      <xdr:spPr>
        <a:xfrm>
          <a:off x="6455511" y="908288"/>
          <a:ext cx="1931303" cy="463379"/>
        </a:xfrm>
        <a:prstGeom prst="round2Diag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1535640</xdr:colOff>
      <xdr:row>1</xdr:row>
      <xdr:rowOff>12871</xdr:rowOff>
    </xdr:from>
    <xdr:to>
      <xdr:col>10</xdr:col>
      <xdr:colOff>962460</xdr:colOff>
      <xdr:row>1</xdr:row>
      <xdr:rowOff>476250</xdr:rowOff>
    </xdr:to>
    <xdr:sp macro="" textlink="">
      <xdr:nvSpPr>
        <xdr:cNvPr id="10" name="Rectangle: Diagonal Corners Rounded 9">
          <a:extLst>
            <a:ext uri="{FF2B5EF4-FFF2-40B4-BE49-F238E27FC236}">
              <a16:creationId xmlns:a16="http://schemas.microsoft.com/office/drawing/2014/main" id="{7D40DB32-92E0-412E-B928-26F1C277BCCC}"/>
            </a:ext>
          </a:extLst>
        </xdr:cNvPr>
        <xdr:cNvSpPr/>
      </xdr:nvSpPr>
      <xdr:spPr>
        <a:xfrm>
          <a:off x="10596814" y="915675"/>
          <a:ext cx="1928168" cy="463379"/>
        </a:xfrm>
        <a:prstGeom prst="round2Diag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381000</xdr:colOff>
      <xdr:row>1</xdr:row>
      <xdr:rowOff>46897</xdr:rowOff>
    </xdr:from>
    <xdr:to>
      <xdr:col>4</xdr:col>
      <xdr:colOff>761999</xdr:colOff>
      <xdr:row>1</xdr:row>
      <xdr:rowOff>471660</xdr:rowOff>
    </xdr:to>
    <xdr:sp macro="" textlink="">
      <xdr:nvSpPr>
        <xdr:cNvPr id="11" name="Rectangle: Diagonal Corners Rounded 10">
          <a:extLst>
            <a:ext uri="{FF2B5EF4-FFF2-40B4-BE49-F238E27FC236}">
              <a16:creationId xmlns:a16="http://schemas.microsoft.com/office/drawing/2014/main" id="{F93A6F58-D3EC-467F-9A61-C26BF9F19814}"/>
            </a:ext>
          </a:extLst>
        </xdr:cNvPr>
        <xdr:cNvSpPr/>
      </xdr:nvSpPr>
      <xdr:spPr>
        <a:xfrm>
          <a:off x="3387587" y="949701"/>
          <a:ext cx="1913282" cy="424763"/>
        </a:xfrm>
        <a:prstGeom prst="round2Diag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523875</xdr:colOff>
          <xdr:row>1</xdr:row>
          <xdr:rowOff>123825</xdr:rowOff>
        </xdr:from>
        <xdr:to>
          <xdr:col>0</xdr:col>
          <xdr:colOff>1438275</xdr:colOff>
          <xdr:row>1</xdr:row>
          <xdr:rowOff>390525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857250</xdr:colOff>
          <xdr:row>1</xdr:row>
          <xdr:rowOff>104775</xdr:rowOff>
        </xdr:from>
        <xdr:to>
          <xdr:col>4</xdr:col>
          <xdr:colOff>723900</xdr:colOff>
          <xdr:row>1</xdr:row>
          <xdr:rowOff>409575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923925</xdr:colOff>
          <xdr:row>1</xdr:row>
          <xdr:rowOff>85725</xdr:rowOff>
        </xdr:from>
        <xdr:to>
          <xdr:col>7</xdr:col>
          <xdr:colOff>1095375</xdr:colOff>
          <xdr:row>1</xdr:row>
          <xdr:rowOff>390525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2066925</xdr:colOff>
          <xdr:row>1</xdr:row>
          <xdr:rowOff>95250</xdr:rowOff>
        </xdr:from>
        <xdr:to>
          <xdr:col>10</xdr:col>
          <xdr:colOff>466725</xdr:colOff>
          <xdr:row>1</xdr:row>
          <xdr:rowOff>381000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sh" refreshedDate="45859.762614004627" createdVersion="8" refreshedVersion="8" minRefreshableVersion="3" recordCount="21" xr:uid="{073EA12A-4BEF-48B1-ACCD-D09F71059444}">
  <cacheSource type="worksheet">
    <worksheetSource ref="A1:L22" sheet="Sheet1"/>
  </cacheSource>
  <cacheFields count="12">
    <cacheField name="Emp Code" numFmtId="0">
      <sharedItems/>
    </cacheField>
    <cacheField name="Sales Executive" numFmtId="0">
      <sharedItems count="2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1"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22" maxValue="98"/>
    </cacheField>
    <cacheField name="Day4" numFmtId="0">
      <sharedItems containsSemiMixedTypes="0" containsString="0" containsNumber="1" containsInteger="1" minValue="15" maxValue="91"/>
    </cacheField>
    <cacheField name="Day5" numFmtId="0">
      <sharedItems containsSemiMixedTypes="0" containsString="0" containsNumber="1" containsInteger="1" minValue="13" maxValue="95"/>
    </cacheField>
    <cacheField name="Total Sales" numFmtId="0">
      <sharedItems containsSemiMixedTypes="0" containsString="0" containsNumber="1" containsInteger="1" minValue="52" maxValue="439"/>
    </cacheField>
    <cacheField name="Target" numFmtId="0">
      <sharedItems containsSemiMixedTypes="0" containsString="0" containsNumber="1" containsInteger="1" minValue="500" maxValue="500" count="1">
        <n v="500"/>
      </sharedItems>
    </cacheField>
    <cacheField name="Target Hit %" numFmtId="0">
      <sharedItems count="19">
        <s v="67.80%"/>
        <s v="47.80%"/>
        <s v="75.80%"/>
        <s v="57.60%"/>
        <s v="57.40%"/>
        <s v="53.00%"/>
        <s v="73.80%"/>
        <s v="57.00%"/>
        <s v="37.80%"/>
        <s v="42.60%"/>
        <s v="43.80%"/>
        <s v="75.20%"/>
        <s v="66.40%"/>
        <s v="39.80%"/>
        <s v="61.20%"/>
        <s v="58.20%"/>
        <s v="50.40%"/>
        <s v="50.60%"/>
        <s v="73.40%"/>
      </sharedItems>
    </cacheField>
    <cacheField name="Away From Target %" numFmtId="0">
      <sharedItems count="19">
        <s v="32.20%"/>
        <s v="52.20%"/>
        <s v="24.20%"/>
        <s v="42.40%"/>
        <s v="42.60%"/>
        <s v="47.00%"/>
        <s v="26.20%"/>
        <s v="43.00%"/>
        <s v="62.20%"/>
        <s v="57.40%"/>
        <s v="56.20%"/>
        <s v="24.80%"/>
        <s v="33.60%"/>
        <s v="60.20%"/>
        <s v="38.80%"/>
        <s v="41.80%"/>
        <s v="49.60%"/>
        <s v="49.40%"/>
        <s v="26.60%"/>
      </sharedItems>
    </cacheField>
  </cacheFields>
  <extLst>
    <ext xmlns:x14="http://schemas.microsoft.com/office/spreadsheetml/2009/9/main" uri="{725AE2AE-9491-48be-B2B4-4EB974FC3084}">
      <x14:pivotCacheDefinition pivotCacheId="107322491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s v="Mum-TCL001"/>
    <x v="0"/>
    <x v="0"/>
    <n v="49"/>
    <n v="84"/>
    <n v="98"/>
    <n v="67"/>
    <n v="41"/>
    <n v="339"/>
    <x v="0"/>
    <x v="0"/>
    <x v="0"/>
  </r>
  <r>
    <s v="Mum-TCL002"/>
    <x v="1"/>
    <x v="1"/>
    <n v="44"/>
    <n v="49"/>
    <n v="47"/>
    <n v="15"/>
    <n v="84"/>
    <n v="239"/>
    <x v="0"/>
    <x v="1"/>
    <x v="1"/>
  </r>
  <r>
    <s v="Mum-TCL003"/>
    <x v="2"/>
    <x v="2"/>
    <n v="45"/>
    <n v="79"/>
    <n v="88"/>
    <n v="73"/>
    <n v="94"/>
    <n v="379"/>
    <x v="0"/>
    <x v="2"/>
    <x v="2"/>
  </r>
  <r>
    <s v="Mum-TCL004"/>
    <x v="3"/>
    <x v="3"/>
    <n v="99"/>
    <n v="13"/>
    <n v="95"/>
    <n v="29"/>
    <n v="52"/>
    <n v="288"/>
    <x v="0"/>
    <x v="3"/>
    <x v="3"/>
  </r>
  <r>
    <s v="Mum-TCL005"/>
    <x v="4"/>
    <x v="4"/>
    <n v="52"/>
    <n v="99"/>
    <n v="42"/>
    <n v="49"/>
    <n v="13"/>
    <n v="255"/>
    <x v="0"/>
    <x v="4"/>
    <x v="4"/>
  </r>
  <r>
    <s v="Mum-TCL006"/>
    <x v="5"/>
    <x v="5"/>
    <n v="31"/>
    <n v="23"/>
    <n v="48"/>
    <n v="17"/>
    <n v="46"/>
    <n v="165"/>
    <x v="0"/>
    <x v="5"/>
    <x v="5"/>
  </r>
  <r>
    <s v="Mum-TCL007"/>
    <x v="6"/>
    <x v="6"/>
    <n v="84"/>
    <n v="98"/>
    <n v="88"/>
    <n v="79"/>
    <n v="90"/>
    <n v="439"/>
    <x v="0"/>
    <x v="6"/>
    <x v="6"/>
  </r>
  <r>
    <s v="Mum-TCL008"/>
    <x v="7"/>
    <x v="7"/>
    <n v="97"/>
    <n v="98"/>
    <n v="24"/>
    <n v="53"/>
    <n v="88"/>
    <n v="360"/>
    <x v="0"/>
    <x v="7"/>
    <x v="7"/>
  </r>
  <r>
    <s v="Mum-TCL009"/>
    <x v="8"/>
    <x v="0"/>
    <n v="12"/>
    <n v="53"/>
    <n v="36"/>
    <n v="30"/>
    <n v="58"/>
    <n v="189"/>
    <x v="0"/>
    <x v="8"/>
    <x v="8"/>
  </r>
  <r>
    <s v="Mum-TCL010"/>
    <x v="9"/>
    <x v="1"/>
    <n v="52"/>
    <n v="19"/>
    <n v="53"/>
    <n v="37"/>
    <n v="52"/>
    <n v="213"/>
    <x v="0"/>
    <x v="9"/>
    <x v="9"/>
  </r>
  <r>
    <s v="Mum-TCL011"/>
    <x v="10"/>
    <x v="2"/>
    <n v="17"/>
    <n v="40"/>
    <n v="48"/>
    <n v="51"/>
    <n v="19"/>
    <n v="175"/>
    <x v="0"/>
    <x v="10"/>
    <x v="10"/>
  </r>
  <r>
    <s v="Mum-TCL012"/>
    <x v="11"/>
    <x v="3"/>
    <n v="79"/>
    <n v="91"/>
    <n v="39"/>
    <n v="91"/>
    <n v="76"/>
    <n v="376"/>
    <x v="0"/>
    <x v="11"/>
    <x v="11"/>
  </r>
  <r>
    <s v="Mum-TCL013"/>
    <x v="12"/>
    <x v="4"/>
    <n v="88"/>
    <n v="11"/>
    <n v="78"/>
    <n v="60"/>
    <n v="95"/>
    <n v="332"/>
    <x v="0"/>
    <x v="12"/>
    <x v="12"/>
  </r>
  <r>
    <s v="Mum-TCL014"/>
    <x v="13"/>
    <x v="4"/>
    <n v="77"/>
    <n v="66"/>
    <n v="22"/>
    <n v="40"/>
    <n v="83"/>
    <n v="288"/>
    <x v="0"/>
    <x v="3"/>
    <x v="3"/>
  </r>
  <r>
    <s v="Mum-TCL015"/>
    <x v="14"/>
    <x v="6"/>
    <n v="78"/>
    <n v="73"/>
    <n v="79"/>
    <n v="61"/>
    <n v="57"/>
    <n v="348"/>
    <x v="0"/>
    <x v="7"/>
    <x v="7"/>
  </r>
  <r>
    <s v="Mum-TCL016"/>
    <x v="15"/>
    <x v="7"/>
    <n v="14"/>
    <n v="45"/>
    <n v="70"/>
    <n v="40"/>
    <n v="45"/>
    <n v="199"/>
    <x v="0"/>
    <x v="13"/>
    <x v="13"/>
  </r>
  <r>
    <s v="Mum-TCL017"/>
    <x v="16"/>
    <x v="0"/>
    <n v="37"/>
    <n v="69"/>
    <n v="96"/>
    <n v="66"/>
    <n v="88"/>
    <n v="306"/>
    <x v="0"/>
    <x v="14"/>
    <x v="14"/>
  </r>
  <r>
    <s v="Mum-TCL018"/>
    <x v="17"/>
    <x v="1"/>
    <n v="11"/>
    <n v="37"/>
    <n v="91"/>
    <n v="69"/>
    <n v="85"/>
    <n v="282"/>
    <x v="0"/>
    <x v="15"/>
    <x v="15"/>
  </r>
  <r>
    <s v="Mum-TCL019"/>
    <x v="18"/>
    <x v="2"/>
    <n v="19"/>
    <n v="34"/>
    <n v="64"/>
    <n v="65"/>
    <n v="70"/>
    <n v="252"/>
    <x v="0"/>
    <x v="16"/>
    <x v="16"/>
  </r>
  <r>
    <s v="Mum-TCL020"/>
    <x v="19"/>
    <x v="3"/>
    <n v="93"/>
    <n v="73"/>
    <n v="45"/>
    <n v="19"/>
    <n v="23"/>
    <n v="52"/>
    <x v="0"/>
    <x v="17"/>
    <x v="17"/>
  </r>
  <r>
    <s v="Mum-TCL021"/>
    <x v="20"/>
    <x v="4"/>
    <n v="68"/>
    <n v="43"/>
    <n v="97"/>
    <n v="76"/>
    <n v="23"/>
    <n v="367"/>
    <x v="0"/>
    <x v="18"/>
    <x v="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9ABAE9-7E04-47A6-B033-4B6AE896E9F0}" name="PivotTable4"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6" firstHeaderRow="1" firstDataRow="1" firstDataCol="1"/>
  <pivotFields count="12">
    <pivotField showAll="0"/>
    <pivotField axis="axisRow" showAll="0" measureFilter="1" sortType="descending">
      <items count="22">
        <item x="1"/>
        <item x="3"/>
        <item x="5"/>
        <item x="6"/>
        <item x="7"/>
        <item x="8"/>
        <item x="9"/>
        <item x="10"/>
        <item x="11"/>
        <item x="12"/>
        <item x="13"/>
        <item x="14"/>
        <item x="15"/>
        <item x="16"/>
        <item x="17"/>
        <item x="18"/>
        <item x="19"/>
        <item x="20"/>
        <item x="0"/>
        <item x="2"/>
        <item x="4"/>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3">
    <i>
      <x v="1"/>
    </i>
    <i>
      <x v="8"/>
    </i>
    <i>
      <x v="16"/>
    </i>
  </rowItems>
  <colItems count="1">
    <i/>
  </colItems>
  <dataFields count="1">
    <dataField name="Total_Sales" fld="8" baseField="1" baseItem="1"/>
  </dataFields>
  <pivotTableStyleInfo name="PivotStyleDark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8EDDAB3-5B16-4C6C-A9C3-739FC609490F}" name="PivotTable2"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6" firstHeaderRow="1" firstDataRow="1" firstDataCol="1"/>
  <pivotFields count="12">
    <pivotField showAll="0"/>
    <pivotField axis="axisRow" showAll="0" measureFilter="1">
      <items count="22">
        <item x="4"/>
        <item x="2"/>
        <item x="0"/>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3">
    <i>
      <x v="4"/>
    </i>
    <i>
      <x v="12"/>
    </i>
    <i>
      <x v="19"/>
    </i>
  </rowItems>
  <colItems count="1">
    <i/>
  </colItems>
  <dataFields count="1">
    <dataField name="Total_Sales" fld="8" baseField="1" baseItem="1"/>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42001F2-F804-4135-8425-2F7E9C2D91B7}" name="PivotTable3"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J3:K6" firstHeaderRow="1" firstDataRow="1" firstDataCol="1"/>
  <pivotFields count="12">
    <pivotField showAll="0"/>
    <pivotField axis="axisRow" showAll="0" measureFilter="1">
      <items count="22">
        <item x="4"/>
        <item x="2"/>
        <item x="0"/>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showAll="0">
      <items count="20">
        <item x="8"/>
        <item x="13"/>
        <item x="9"/>
        <item x="10"/>
        <item x="1"/>
        <item x="16"/>
        <item x="17"/>
        <item x="5"/>
        <item x="7"/>
        <item x="4"/>
        <item x="3"/>
        <item x="15"/>
        <item x="14"/>
        <item x="12"/>
        <item x="0"/>
        <item x="18"/>
        <item x="6"/>
        <item x="11"/>
        <item x="2"/>
        <item t="default"/>
      </items>
    </pivotField>
    <pivotField showAll="0">
      <items count="20">
        <item x="2"/>
        <item x="11"/>
        <item x="6"/>
        <item x="18"/>
        <item x="0"/>
        <item x="12"/>
        <item x="14"/>
        <item x="15"/>
        <item x="3"/>
        <item x="4"/>
        <item x="7"/>
        <item x="5"/>
        <item x="17"/>
        <item x="16"/>
        <item x="1"/>
        <item x="10"/>
        <item x="9"/>
        <item x="13"/>
        <item x="8"/>
        <item t="default"/>
      </items>
    </pivotField>
  </pivotFields>
  <rowFields count="1">
    <field x="1"/>
  </rowFields>
  <rowItems count="3">
    <i>
      <x v="4"/>
    </i>
    <i>
      <x v="12"/>
    </i>
    <i>
      <x v="19"/>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8"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85CBD31-C510-4256-9506-90459CDF93D0}" name="PivotTable9"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6" firstHeaderRow="1" firstDataRow="1" firstDataCol="1"/>
  <pivotFields count="12">
    <pivotField showAll="0"/>
    <pivotField axis="axisRow" showAll="0" measureFilter="1">
      <items count="22">
        <item x="4"/>
        <item x="2"/>
        <item x="0"/>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items count="2">
        <item x="0"/>
        <item t="default"/>
      </items>
    </pivotField>
    <pivotField showAll="0">
      <items count="20">
        <item x="8"/>
        <item x="13"/>
        <item x="9"/>
        <item x="10"/>
        <item x="1"/>
        <item x="16"/>
        <item x="17"/>
        <item x="5"/>
        <item x="7"/>
        <item x="4"/>
        <item x="3"/>
        <item x="15"/>
        <item x="14"/>
        <item x="12"/>
        <item x="0"/>
        <item x="18"/>
        <item x="6"/>
        <item x="11"/>
        <item x="2"/>
        <item t="default"/>
      </items>
    </pivotField>
    <pivotField showAll="0">
      <items count="20">
        <item x="2"/>
        <item x="11"/>
        <item x="6"/>
        <item x="18"/>
        <item x="0"/>
        <item x="12"/>
        <item x="14"/>
        <item x="15"/>
        <item x="3"/>
        <item x="4"/>
        <item x="7"/>
        <item x="5"/>
        <item x="17"/>
        <item x="16"/>
        <item x="1"/>
        <item x="10"/>
        <item x="9"/>
        <item x="13"/>
        <item x="8"/>
        <item t="default"/>
      </items>
    </pivotField>
  </pivotFields>
  <rowFields count="1">
    <field x="1"/>
  </rowFields>
  <rowItems count="3">
    <i>
      <x v="4"/>
    </i>
    <i>
      <x v="12"/>
    </i>
    <i>
      <x v="19"/>
    </i>
  </rowItems>
  <colItems count="1">
    <i/>
  </colItems>
  <dataFields count="1">
    <dataField name="Sum of Total Sales" fld="8"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2"/>
          </reference>
        </references>
      </pivotArea>
    </chartFormat>
    <chartFormat chart="0" format="4">
      <pivotArea type="data" outline="0" fieldPosition="0">
        <references count="2">
          <reference field="4294967294" count="1" selected="0">
            <x v="0"/>
          </reference>
          <reference field="1" count="1" selected="0">
            <x v="16"/>
          </reference>
        </references>
      </pivotArea>
    </chartFormat>
    <chartFormat chart="0" format="5">
      <pivotArea type="data" outline="0" fieldPosition="0">
        <references count="2">
          <reference field="4294967294" count="1" selected="0">
            <x v="0"/>
          </reference>
          <reference field="1" count="1" selected="0">
            <x v="17"/>
          </reference>
        </references>
      </pivotArea>
    </chartFormat>
    <chartFormat chart="0" format="6">
      <pivotArea type="data" outline="0" fieldPosition="0">
        <references count="2">
          <reference field="4294967294" count="1" selected="0">
            <x v="0"/>
          </reference>
          <reference field="1" count="1" selected="0">
            <x v="4"/>
          </reference>
        </references>
      </pivotArea>
    </chartFormat>
    <chartFormat chart="0" format="7">
      <pivotArea type="data" outline="0" fieldPosition="0">
        <references count="2">
          <reference field="4294967294" count="1" selected="0">
            <x v="0"/>
          </reference>
          <reference field="1" count="1" selected="0">
            <x v="19"/>
          </reference>
        </references>
      </pivotArea>
    </chartFormat>
  </chartFormats>
  <pivotTableStyleInfo name="PivotStyleDark6" showRowHeaders="1" showColHeaders="1" showRowStripes="0" showColStripes="0" showLastColumn="1"/>
  <filters count="1">
    <filter fld="1"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F95C3F4-EB42-4CF9-81AB-E4C0C2FC2423}" sourceName="Region">
  <pivotTables>
    <pivotTable tabId="2" name="PivotTable3"/>
    <pivotTable tabId="2" name="PivotTable4"/>
    <pivotTable tabId="2" name="PivotTable2"/>
    <pivotTable tabId="2" name="PivotTable9"/>
  </pivotTables>
  <data>
    <tabular pivotCacheId="1073224917">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0A2722A-E372-477C-A340-0B60D2D4860D}" cache="Slicer_Region" caption="Region" columnCount="8" showCaption="0" style="Slicer Style 2" rowHeight="468000"/>
</slicers>
</file>

<file path=xl/theme/theme1.xml><?xml version="1.0" encoding="utf-8"?>
<a:theme xmlns:a="http://schemas.openxmlformats.org/drawingml/2006/main" name="Office Theme 2007 - 2010">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1FC12-01B6-40E1-B24F-237AB85C4683}">
  <sheetPr codeName="Sheet1"/>
  <dimension ref="A1:K24"/>
  <sheetViews>
    <sheetView tabSelected="1" zoomScale="55" zoomScaleNormal="55" workbookViewId="0">
      <selection activeCell="L2" sqref="L2"/>
    </sheetView>
  </sheetViews>
  <sheetFormatPr defaultRowHeight="15" x14ac:dyDescent="0.25"/>
  <cols>
    <col min="1" max="1" width="25.5703125" customWidth="1"/>
    <col min="2" max="2" width="16.5703125" customWidth="1"/>
    <col min="3" max="3" width="3" customWidth="1"/>
    <col min="4" max="4" width="23" customWidth="1"/>
    <col min="5" max="5" width="19.85546875" customWidth="1"/>
    <col min="6" max="6" width="3" customWidth="1"/>
    <col min="7" max="7" width="17.140625" customWidth="1"/>
    <col min="8" max="8" width="25" customWidth="1"/>
    <col min="9" max="9" width="2.85546875" customWidth="1"/>
    <col min="10" max="10" width="37.5703125" customWidth="1"/>
    <col min="11" max="11" width="38.28515625" customWidth="1"/>
    <col min="12" max="12" width="16.42578125" bestFit="1" customWidth="1"/>
    <col min="13" max="13" width="16.140625" bestFit="1" customWidth="1"/>
    <col min="14" max="14" width="10.28515625" bestFit="1" customWidth="1"/>
    <col min="15" max="15" width="15.5703125" bestFit="1" customWidth="1"/>
    <col min="16" max="16" width="14.28515625" bestFit="1" customWidth="1"/>
    <col min="17" max="17" width="12.85546875" bestFit="1" customWidth="1"/>
    <col min="18" max="18" width="11.5703125" bestFit="1" customWidth="1"/>
    <col min="19" max="19" width="13.5703125" bestFit="1" customWidth="1"/>
    <col min="20" max="20" width="15" bestFit="1" customWidth="1"/>
    <col min="21" max="21" width="15.28515625" bestFit="1" customWidth="1"/>
    <col min="22" max="22" width="19.7109375" bestFit="1" customWidth="1"/>
    <col min="23" max="23" width="19" bestFit="1" customWidth="1"/>
    <col min="24" max="24" width="15.28515625" bestFit="1" customWidth="1"/>
    <col min="25" max="25" width="11.42578125" bestFit="1" customWidth="1"/>
    <col min="26" max="26" width="10.5703125" bestFit="1" customWidth="1"/>
    <col min="27" max="27" width="11.140625" bestFit="1" customWidth="1"/>
    <col min="28" max="28" width="14" bestFit="1" customWidth="1"/>
    <col min="29" max="29" width="11.140625" bestFit="1" customWidth="1"/>
    <col min="30" max="30" width="11.28515625" bestFit="1" customWidth="1"/>
    <col min="31" max="31" width="20" bestFit="1" customWidth="1"/>
    <col min="32" max="32" width="17.140625" bestFit="1" customWidth="1"/>
    <col min="33" max="33" width="20.28515625" bestFit="1" customWidth="1"/>
    <col min="34" max="34" width="21.5703125" bestFit="1" customWidth="1"/>
    <col min="35" max="35" width="24.7109375" bestFit="1" customWidth="1"/>
    <col min="36" max="36" width="20.85546875" bestFit="1" customWidth="1"/>
    <col min="37" max="37" width="24" bestFit="1" customWidth="1"/>
    <col min="38" max="38" width="17.140625" bestFit="1" customWidth="1"/>
    <col min="39" max="39" width="20.28515625" bestFit="1" customWidth="1"/>
    <col min="40" max="40" width="13.28515625" bestFit="1" customWidth="1"/>
    <col min="41" max="41" width="16.42578125" bestFit="1" customWidth="1"/>
    <col min="42" max="42" width="12.42578125" bestFit="1" customWidth="1"/>
    <col min="43" max="43" width="15.5703125" bestFit="1" customWidth="1"/>
    <col min="44" max="44" width="13" bestFit="1" customWidth="1"/>
    <col min="45" max="45" width="16.140625" bestFit="1" customWidth="1"/>
    <col min="46" max="46" width="15.85546875" bestFit="1" customWidth="1"/>
    <col min="47" max="47" width="19" bestFit="1" customWidth="1"/>
    <col min="48" max="48" width="13" bestFit="1" customWidth="1"/>
    <col min="49" max="49" width="16.140625" bestFit="1" customWidth="1"/>
    <col min="50" max="50" width="11.28515625" bestFit="1" customWidth="1"/>
  </cols>
  <sheetData>
    <row r="1" spans="1:11" ht="71.25" customHeight="1" x14ac:dyDescent="0.25">
      <c r="A1" s="8" t="b">
        <v>1</v>
      </c>
      <c r="B1" s="6"/>
      <c r="C1" s="6"/>
      <c r="D1" s="8" t="b">
        <v>1</v>
      </c>
      <c r="E1" s="6"/>
      <c r="F1" s="6"/>
      <c r="G1" s="8" t="b">
        <v>1</v>
      </c>
      <c r="H1" s="6"/>
      <c r="I1" s="6"/>
      <c r="J1" s="8" t="b">
        <v>1</v>
      </c>
      <c r="K1" s="5"/>
    </row>
    <row r="2" spans="1:11" ht="44.25" customHeight="1" x14ac:dyDescent="0.25">
      <c r="A2" s="5"/>
      <c r="B2" s="5"/>
      <c r="C2" s="5"/>
      <c r="D2" s="5"/>
      <c r="E2" s="5"/>
      <c r="F2" s="5"/>
      <c r="G2" s="5"/>
      <c r="H2" s="5"/>
      <c r="I2" s="5"/>
      <c r="J2" s="5"/>
      <c r="K2" s="5"/>
    </row>
    <row r="3" spans="1:11" x14ac:dyDescent="0.25">
      <c r="A3" s="2" t="s">
        <v>1</v>
      </c>
      <c r="B3" t="s">
        <v>62</v>
      </c>
      <c r="C3" s="5"/>
      <c r="D3" s="2" t="s">
        <v>1</v>
      </c>
      <c r="E3" t="s">
        <v>62</v>
      </c>
      <c r="F3" s="5"/>
      <c r="G3" s="2" t="s">
        <v>1</v>
      </c>
      <c r="H3" t="s">
        <v>64</v>
      </c>
      <c r="I3" s="5"/>
      <c r="J3" s="2" t="s">
        <v>1</v>
      </c>
      <c r="K3" t="s">
        <v>64</v>
      </c>
    </row>
    <row r="4" spans="1:11" x14ac:dyDescent="0.25">
      <c r="A4" s="3" t="s">
        <v>52</v>
      </c>
      <c r="B4" s="9">
        <v>52</v>
      </c>
      <c r="C4" s="5"/>
      <c r="D4" s="3" t="s">
        <v>36</v>
      </c>
      <c r="E4" s="9">
        <v>288</v>
      </c>
      <c r="F4" s="5"/>
      <c r="G4" s="3" t="s">
        <v>52</v>
      </c>
      <c r="H4" s="9">
        <v>52</v>
      </c>
      <c r="I4" s="5"/>
      <c r="J4" s="3" t="s">
        <v>52</v>
      </c>
      <c r="K4" s="9">
        <v>52</v>
      </c>
    </row>
    <row r="5" spans="1:11" x14ac:dyDescent="0.25">
      <c r="A5" s="3" t="s">
        <v>44</v>
      </c>
      <c r="B5" s="9">
        <v>376</v>
      </c>
      <c r="C5" s="5"/>
      <c r="D5" s="3" t="s">
        <v>44</v>
      </c>
      <c r="E5" s="9">
        <v>376</v>
      </c>
      <c r="F5" s="5"/>
      <c r="G5" s="3" t="s">
        <v>44</v>
      </c>
      <c r="H5" s="9">
        <v>376</v>
      </c>
      <c r="I5" s="5"/>
      <c r="J5" s="3" t="s">
        <v>44</v>
      </c>
      <c r="K5" s="9">
        <v>376</v>
      </c>
    </row>
    <row r="6" spans="1:11" x14ac:dyDescent="0.25">
      <c r="A6" s="3" t="s">
        <v>36</v>
      </c>
      <c r="B6" s="9">
        <v>288</v>
      </c>
      <c r="C6" s="5"/>
      <c r="D6" s="3" t="s">
        <v>52</v>
      </c>
      <c r="E6" s="9">
        <v>52</v>
      </c>
      <c r="F6" s="5"/>
      <c r="G6" s="3" t="s">
        <v>36</v>
      </c>
      <c r="H6" s="9">
        <v>288</v>
      </c>
      <c r="I6" s="5"/>
      <c r="J6" s="3" t="s">
        <v>36</v>
      </c>
      <c r="K6" s="9">
        <v>288</v>
      </c>
    </row>
    <row r="7" spans="1:11" x14ac:dyDescent="0.25">
      <c r="C7" s="5"/>
      <c r="F7" s="5"/>
      <c r="I7" s="8"/>
    </row>
    <row r="8" spans="1:11" hidden="1" x14ac:dyDescent="0.25">
      <c r="C8" s="5"/>
      <c r="F8" s="5"/>
    </row>
    <row r="9" spans="1:11" x14ac:dyDescent="0.25">
      <c r="A9" s="5"/>
      <c r="B9" s="7"/>
      <c r="C9" s="5"/>
      <c r="D9" s="5"/>
      <c r="E9" s="5"/>
      <c r="F9" s="5"/>
      <c r="G9" s="5"/>
      <c r="H9" s="5"/>
      <c r="I9" s="5"/>
      <c r="J9" s="5"/>
      <c r="K9" s="5"/>
    </row>
    <row r="10" spans="1:11" x14ac:dyDescent="0.25">
      <c r="A10" s="5"/>
      <c r="B10" s="5"/>
      <c r="C10" s="5"/>
      <c r="D10" s="5"/>
      <c r="E10" s="5"/>
      <c r="F10" s="5"/>
      <c r="G10" s="5"/>
      <c r="H10" s="5"/>
      <c r="I10" s="5"/>
      <c r="J10" s="5"/>
      <c r="K10" s="5"/>
    </row>
    <row r="11" spans="1:11" x14ac:dyDescent="0.25">
      <c r="A11" s="5"/>
      <c r="B11" s="5"/>
      <c r="C11" s="5"/>
      <c r="D11" s="5"/>
      <c r="E11" s="5"/>
      <c r="F11" s="5"/>
      <c r="G11" s="5"/>
      <c r="H11" s="5"/>
      <c r="I11" s="5"/>
      <c r="J11" s="5"/>
      <c r="K11" s="5"/>
    </row>
    <row r="12" spans="1:11" x14ac:dyDescent="0.25">
      <c r="A12" s="5"/>
      <c r="B12" s="5"/>
      <c r="C12" s="5"/>
      <c r="D12" s="5"/>
      <c r="E12" s="5"/>
      <c r="F12" s="5"/>
      <c r="G12" s="5"/>
      <c r="H12" s="5"/>
      <c r="I12" s="5"/>
      <c r="J12" s="5"/>
      <c r="K12" s="5"/>
    </row>
    <row r="13" spans="1:11" x14ac:dyDescent="0.25">
      <c r="A13" s="5"/>
      <c r="B13" s="5"/>
      <c r="C13" s="5"/>
      <c r="D13" s="5"/>
      <c r="E13" s="5"/>
      <c r="F13" s="5"/>
      <c r="G13" s="5"/>
      <c r="H13" s="5"/>
      <c r="I13" s="5"/>
      <c r="J13" s="5"/>
      <c r="K13" s="5"/>
    </row>
    <row r="14" spans="1:11" x14ac:dyDescent="0.25">
      <c r="A14" s="5"/>
      <c r="B14" s="5"/>
      <c r="C14" s="5"/>
      <c r="D14" s="5"/>
      <c r="E14" s="5"/>
      <c r="F14" s="5"/>
      <c r="G14" s="5"/>
      <c r="H14" s="5"/>
      <c r="I14" s="5"/>
      <c r="J14" s="5"/>
      <c r="K14" s="5"/>
    </row>
    <row r="15" spans="1:11" x14ac:dyDescent="0.25">
      <c r="A15" s="5"/>
      <c r="B15" s="5"/>
      <c r="C15" s="5"/>
      <c r="D15" s="5"/>
      <c r="E15" s="5"/>
      <c r="F15" s="5"/>
      <c r="G15" s="5"/>
      <c r="H15" s="5"/>
      <c r="I15" s="5"/>
      <c r="J15" s="5"/>
      <c r="K15" s="5"/>
    </row>
    <row r="16" spans="1:11" x14ac:dyDescent="0.25">
      <c r="A16" s="5"/>
      <c r="B16" s="5"/>
      <c r="C16" s="5"/>
      <c r="D16" s="5"/>
      <c r="E16" s="5"/>
      <c r="F16" s="5"/>
      <c r="G16" s="5"/>
      <c r="H16" s="5"/>
      <c r="I16" s="5"/>
      <c r="J16" s="5"/>
      <c r="K16" s="5"/>
    </row>
    <row r="17" spans="1:11" x14ac:dyDescent="0.25">
      <c r="A17" s="5"/>
      <c r="B17" s="5"/>
      <c r="C17" s="5"/>
      <c r="D17" s="5"/>
      <c r="E17" s="5"/>
      <c r="F17" s="5"/>
      <c r="G17" s="5"/>
      <c r="H17" s="5"/>
      <c r="I17" s="5"/>
      <c r="J17" s="5"/>
      <c r="K17" s="5"/>
    </row>
    <row r="18" spans="1:11" x14ac:dyDescent="0.25">
      <c r="A18" s="5"/>
      <c r="B18" s="5"/>
      <c r="C18" s="5"/>
      <c r="D18" s="5"/>
      <c r="E18" s="5"/>
      <c r="F18" s="5"/>
      <c r="G18" s="5"/>
      <c r="H18" s="5"/>
      <c r="I18" s="5"/>
      <c r="J18" s="5"/>
      <c r="K18" s="5"/>
    </row>
    <row r="19" spans="1:11" x14ac:dyDescent="0.25">
      <c r="A19" s="5"/>
      <c r="B19" s="5"/>
      <c r="C19" s="5"/>
      <c r="D19" s="5"/>
      <c r="E19" s="5"/>
      <c r="F19" s="5"/>
      <c r="G19" s="5"/>
      <c r="H19" s="5"/>
      <c r="I19" s="5"/>
      <c r="J19" s="5"/>
      <c r="K19" s="5"/>
    </row>
    <row r="20" spans="1:11" x14ac:dyDescent="0.25">
      <c r="A20" s="5"/>
      <c r="B20" s="5"/>
      <c r="C20" s="5"/>
      <c r="D20" s="5"/>
      <c r="E20" s="5"/>
      <c r="F20" s="5"/>
      <c r="G20" s="5"/>
      <c r="H20" s="5"/>
      <c r="I20" s="5"/>
      <c r="J20" s="5"/>
      <c r="K20" s="5"/>
    </row>
    <row r="21" spans="1:11" x14ac:dyDescent="0.25">
      <c r="A21" s="5"/>
      <c r="B21" s="5"/>
      <c r="C21" s="5"/>
      <c r="D21" s="5"/>
      <c r="E21" s="5"/>
      <c r="F21" s="5"/>
      <c r="G21" s="5"/>
      <c r="H21" s="5"/>
      <c r="I21" s="5"/>
      <c r="J21" s="5"/>
      <c r="K21" s="5"/>
    </row>
    <row r="22" spans="1:11" x14ac:dyDescent="0.25">
      <c r="A22" s="5"/>
      <c r="B22" s="5"/>
      <c r="C22" s="5"/>
      <c r="D22" s="5"/>
      <c r="E22" s="5"/>
      <c r="F22" s="5"/>
      <c r="G22" s="5"/>
      <c r="H22" s="5"/>
      <c r="I22" s="5"/>
      <c r="J22" s="5"/>
      <c r="K22" s="5"/>
    </row>
    <row r="23" spans="1:11" x14ac:dyDescent="0.25">
      <c r="A23" s="5"/>
      <c r="B23" s="5"/>
      <c r="C23" s="5"/>
      <c r="D23" s="5"/>
      <c r="E23" s="5"/>
      <c r="F23" s="5"/>
      <c r="G23" s="5"/>
      <c r="H23" s="5"/>
      <c r="I23" s="5"/>
      <c r="J23" s="5"/>
      <c r="K23" s="5"/>
    </row>
    <row r="24" spans="1:11" x14ac:dyDescent="0.25">
      <c r="A24" s="5"/>
      <c r="B24" s="5"/>
      <c r="C24" s="5"/>
      <c r="D24" s="5"/>
      <c r="E24" s="5"/>
      <c r="F24" s="5"/>
      <c r="G24" s="5"/>
      <c r="H24" s="5"/>
      <c r="I24" s="5"/>
      <c r="J24" s="5"/>
      <c r="K24" s="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Macro1">
                <anchor moveWithCells="1">
                  <from>
                    <xdr:col>0</xdr:col>
                    <xdr:colOff>523875</xdr:colOff>
                    <xdr:row>1</xdr:row>
                    <xdr:rowOff>123825</xdr:rowOff>
                  </from>
                  <to>
                    <xdr:col>0</xdr:col>
                    <xdr:colOff>1438275</xdr:colOff>
                    <xdr:row>1</xdr:row>
                    <xdr:rowOff>390525</xdr:rowOff>
                  </to>
                </anchor>
              </controlPr>
            </control>
          </mc:Choice>
        </mc:AlternateContent>
        <mc:AlternateContent xmlns:mc="http://schemas.openxmlformats.org/markup-compatibility/2006">
          <mc:Choice Requires="x14">
            <control shapeId="1027" r:id="rId8" name="Check Box 3">
              <controlPr defaultSize="0" autoFill="0" autoLine="0" autoPict="0" macro="[0]!Macro1">
                <anchor moveWithCells="1">
                  <from>
                    <xdr:col>3</xdr:col>
                    <xdr:colOff>857250</xdr:colOff>
                    <xdr:row>1</xdr:row>
                    <xdr:rowOff>104775</xdr:rowOff>
                  </from>
                  <to>
                    <xdr:col>4</xdr:col>
                    <xdr:colOff>723900</xdr:colOff>
                    <xdr:row>1</xdr:row>
                    <xdr:rowOff>409575</xdr:rowOff>
                  </to>
                </anchor>
              </controlPr>
            </control>
          </mc:Choice>
        </mc:AlternateContent>
        <mc:AlternateContent xmlns:mc="http://schemas.openxmlformats.org/markup-compatibility/2006">
          <mc:Choice Requires="x14">
            <control shapeId="1029" r:id="rId9" name="Check Box 5">
              <controlPr defaultSize="0" autoFill="0" autoLine="0" autoPict="0" macro="[0]!Macro1">
                <anchor moveWithCells="1">
                  <from>
                    <xdr:col>6</xdr:col>
                    <xdr:colOff>923925</xdr:colOff>
                    <xdr:row>1</xdr:row>
                    <xdr:rowOff>85725</xdr:rowOff>
                  </from>
                  <to>
                    <xdr:col>7</xdr:col>
                    <xdr:colOff>1095375</xdr:colOff>
                    <xdr:row>1</xdr:row>
                    <xdr:rowOff>390525</xdr:rowOff>
                  </to>
                </anchor>
              </controlPr>
            </control>
          </mc:Choice>
        </mc:AlternateContent>
        <mc:AlternateContent xmlns:mc="http://schemas.openxmlformats.org/markup-compatibility/2006">
          <mc:Choice Requires="x14">
            <control shapeId="1031" r:id="rId10" name="Check Box 7">
              <controlPr defaultSize="0" autoFill="0" autoLine="0" autoPict="0" macro="[0]!Macro1">
                <anchor moveWithCells="1">
                  <from>
                    <xdr:col>9</xdr:col>
                    <xdr:colOff>2066925</xdr:colOff>
                    <xdr:row>1</xdr:row>
                    <xdr:rowOff>95250</xdr:rowOff>
                  </from>
                  <to>
                    <xdr:col>10</xdr:col>
                    <xdr:colOff>466725</xdr:colOff>
                    <xdr:row>1</xdr:row>
                    <xdr:rowOff>381000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22"/>
  <sheetViews>
    <sheetView workbookViewId="0">
      <selection sqref="A1:L22"/>
    </sheetView>
  </sheetViews>
  <sheetFormatPr defaultRowHeight="15" x14ac:dyDescent="0.25"/>
  <cols>
    <col min="1" max="1" width="15.5703125" customWidth="1"/>
    <col min="2" max="2" width="19.85546875" customWidth="1"/>
    <col min="11" max="11" width="14.42578125" customWidth="1"/>
    <col min="12" max="12" width="22.140625"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t="s">
        <v>12</v>
      </c>
      <c r="B2" t="s">
        <v>33</v>
      </c>
      <c r="C2" t="s">
        <v>54</v>
      </c>
      <c r="D2">
        <v>49</v>
      </c>
      <c r="E2">
        <v>84</v>
      </c>
      <c r="F2">
        <v>98</v>
      </c>
      <c r="G2">
        <v>67</v>
      </c>
      <c r="H2">
        <v>41</v>
      </c>
      <c r="I2">
        <v>339</v>
      </c>
      <c r="J2">
        <v>500</v>
      </c>
      <c r="K2" s="4">
        <f>IF(J2=0, "", I2/J2)</f>
        <v>0.67800000000000005</v>
      </c>
      <c r="L2" s="4" t="s">
        <v>63</v>
      </c>
    </row>
    <row r="3" spans="1:12" x14ac:dyDescent="0.25">
      <c r="A3" t="s">
        <v>13</v>
      </c>
      <c r="B3" t="s">
        <v>34</v>
      </c>
      <c r="C3" t="s">
        <v>55</v>
      </c>
      <c r="D3">
        <v>44</v>
      </c>
      <c r="E3">
        <v>49</v>
      </c>
      <c r="F3">
        <v>47</v>
      </c>
      <c r="G3">
        <v>15</v>
      </c>
      <c r="H3">
        <v>84</v>
      </c>
      <c r="I3">
        <v>239</v>
      </c>
      <c r="J3">
        <v>500</v>
      </c>
      <c r="K3" s="4">
        <f t="shared" ref="K3:K21" si="0">IF(J3=0, "", I3/J3)</f>
        <v>0.47799999999999998</v>
      </c>
      <c r="L3" s="4">
        <f t="shared" ref="L3:L22" si="1">IF(K3="","",1-K3)</f>
        <v>0.52200000000000002</v>
      </c>
    </row>
    <row r="4" spans="1:12" x14ac:dyDescent="0.25">
      <c r="A4" t="s">
        <v>14</v>
      </c>
      <c r="B4" t="s">
        <v>35</v>
      </c>
      <c r="C4" t="s">
        <v>56</v>
      </c>
      <c r="D4">
        <v>45</v>
      </c>
      <c r="E4">
        <v>79</v>
      </c>
      <c r="F4">
        <v>88</v>
      </c>
      <c r="G4">
        <v>73</v>
      </c>
      <c r="H4">
        <v>94</v>
      </c>
      <c r="I4">
        <v>379</v>
      </c>
      <c r="J4">
        <v>500</v>
      </c>
      <c r="K4" s="4">
        <f t="shared" si="0"/>
        <v>0.75800000000000001</v>
      </c>
      <c r="L4" s="4">
        <f t="shared" si="1"/>
        <v>0.24199999999999999</v>
      </c>
    </row>
    <row r="5" spans="1:12" x14ac:dyDescent="0.25">
      <c r="A5" t="s">
        <v>15</v>
      </c>
      <c r="B5" t="s">
        <v>36</v>
      </c>
      <c r="C5" t="s">
        <v>57</v>
      </c>
      <c r="D5">
        <v>99</v>
      </c>
      <c r="E5">
        <v>13</v>
      </c>
      <c r="F5">
        <v>95</v>
      </c>
      <c r="G5">
        <v>29</v>
      </c>
      <c r="H5">
        <v>52</v>
      </c>
      <c r="I5">
        <v>288</v>
      </c>
      <c r="J5">
        <v>500</v>
      </c>
      <c r="K5" s="4">
        <f t="shared" si="0"/>
        <v>0.57599999999999996</v>
      </c>
      <c r="L5" s="4">
        <f t="shared" si="1"/>
        <v>0.42400000000000004</v>
      </c>
    </row>
    <row r="6" spans="1:12" x14ac:dyDescent="0.25">
      <c r="A6" t="s">
        <v>16</v>
      </c>
      <c r="B6" t="s">
        <v>37</v>
      </c>
      <c r="C6" t="s">
        <v>58</v>
      </c>
      <c r="D6">
        <v>52</v>
      </c>
      <c r="E6">
        <v>99</v>
      </c>
      <c r="F6">
        <v>42</v>
      </c>
      <c r="G6">
        <v>49</v>
      </c>
      <c r="H6">
        <v>13</v>
      </c>
      <c r="I6">
        <v>255</v>
      </c>
      <c r="J6">
        <v>500</v>
      </c>
      <c r="K6" s="4">
        <f t="shared" si="0"/>
        <v>0.51</v>
      </c>
      <c r="L6" s="4">
        <f t="shared" si="1"/>
        <v>0.49</v>
      </c>
    </row>
    <row r="7" spans="1:12" x14ac:dyDescent="0.25">
      <c r="A7" t="s">
        <v>17</v>
      </c>
      <c r="B7" t="s">
        <v>38</v>
      </c>
      <c r="C7" t="s">
        <v>59</v>
      </c>
      <c r="D7">
        <v>31</v>
      </c>
      <c r="E7">
        <v>23</v>
      </c>
      <c r="F7">
        <v>48</v>
      </c>
      <c r="G7">
        <v>17</v>
      </c>
      <c r="H7">
        <v>46</v>
      </c>
      <c r="I7">
        <v>165</v>
      </c>
      <c r="J7">
        <v>500</v>
      </c>
      <c r="K7" s="4">
        <f t="shared" si="0"/>
        <v>0.33</v>
      </c>
      <c r="L7" s="4">
        <f t="shared" si="1"/>
        <v>0.66999999999999993</v>
      </c>
    </row>
    <row r="8" spans="1:12" x14ac:dyDescent="0.25">
      <c r="A8" t="s">
        <v>18</v>
      </c>
      <c r="B8" t="s">
        <v>39</v>
      </c>
      <c r="C8" t="s">
        <v>60</v>
      </c>
      <c r="D8">
        <v>84</v>
      </c>
      <c r="E8">
        <v>98</v>
      </c>
      <c r="F8">
        <v>88</v>
      </c>
      <c r="G8">
        <v>79</v>
      </c>
      <c r="H8">
        <v>90</v>
      </c>
      <c r="I8">
        <v>439</v>
      </c>
      <c r="J8">
        <v>500</v>
      </c>
      <c r="K8" s="4">
        <f t="shared" si="0"/>
        <v>0.878</v>
      </c>
      <c r="L8" s="4">
        <f t="shared" si="1"/>
        <v>0.122</v>
      </c>
    </row>
    <row r="9" spans="1:12" x14ac:dyDescent="0.25">
      <c r="A9" t="s">
        <v>19</v>
      </c>
      <c r="B9" t="s">
        <v>40</v>
      </c>
      <c r="C9" t="s">
        <v>61</v>
      </c>
      <c r="D9">
        <v>97</v>
      </c>
      <c r="E9">
        <v>98</v>
      </c>
      <c r="F9">
        <v>24</v>
      </c>
      <c r="G9">
        <v>53</v>
      </c>
      <c r="H9">
        <v>88</v>
      </c>
      <c r="I9">
        <v>360</v>
      </c>
      <c r="J9">
        <v>500</v>
      </c>
      <c r="K9" s="4">
        <f t="shared" si="0"/>
        <v>0.72</v>
      </c>
      <c r="L9" s="4">
        <f t="shared" si="1"/>
        <v>0.28000000000000003</v>
      </c>
    </row>
    <row r="10" spans="1:12" x14ac:dyDescent="0.25">
      <c r="A10" t="s">
        <v>20</v>
      </c>
      <c r="B10" t="s">
        <v>41</v>
      </c>
      <c r="C10" t="s">
        <v>54</v>
      </c>
      <c r="D10">
        <v>12</v>
      </c>
      <c r="E10">
        <v>53</v>
      </c>
      <c r="F10">
        <v>36</v>
      </c>
      <c r="G10">
        <v>30</v>
      </c>
      <c r="H10">
        <v>58</v>
      </c>
      <c r="I10">
        <v>189</v>
      </c>
      <c r="J10">
        <v>500</v>
      </c>
      <c r="K10" s="4">
        <f t="shared" si="0"/>
        <v>0.378</v>
      </c>
      <c r="L10" s="4">
        <f t="shared" si="1"/>
        <v>0.622</v>
      </c>
    </row>
    <row r="11" spans="1:12" x14ac:dyDescent="0.25">
      <c r="A11" t="s">
        <v>21</v>
      </c>
      <c r="B11" t="s">
        <v>42</v>
      </c>
      <c r="C11" t="s">
        <v>55</v>
      </c>
      <c r="D11">
        <v>52</v>
      </c>
      <c r="E11">
        <v>19</v>
      </c>
      <c r="F11">
        <v>53</v>
      </c>
      <c r="G11">
        <v>37</v>
      </c>
      <c r="H11">
        <v>52</v>
      </c>
      <c r="I11">
        <v>213</v>
      </c>
      <c r="J11">
        <v>500</v>
      </c>
      <c r="K11" s="4">
        <f t="shared" si="0"/>
        <v>0.42599999999999999</v>
      </c>
      <c r="L11" s="4">
        <f t="shared" si="1"/>
        <v>0.57400000000000007</v>
      </c>
    </row>
    <row r="12" spans="1:12" x14ac:dyDescent="0.25">
      <c r="A12" t="s">
        <v>22</v>
      </c>
      <c r="B12" t="s">
        <v>43</v>
      </c>
      <c r="C12" t="s">
        <v>56</v>
      </c>
      <c r="D12">
        <v>17</v>
      </c>
      <c r="E12">
        <v>40</v>
      </c>
      <c r="F12">
        <v>48</v>
      </c>
      <c r="G12">
        <v>51</v>
      </c>
      <c r="H12">
        <v>19</v>
      </c>
      <c r="I12">
        <v>175</v>
      </c>
      <c r="J12">
        <v>500</v>
      </c>
      <c r="K12" s="4">
        <f>IF(J12=0, "", I12/J12)</f>
        <v>0.35</v>
      </c>
      <c r="L12" s="4">
        <f t="shared" si="1"/>
        <v>0.65</v>
      </c>
    </row>
    <row r="13" spans="1:12" x14ac:dyDescent="0.25">
      <c r="A13" t="s">
        <v>23</v>
      </c>
      <c r="B13" t="s">
        <v>44</v>
      </c>
      <c r="C13" t="s">
        <v>57</v>
      </c>
      <c r="D13">
        <v>79</v>
      </c>
      <c r="E13">
        <v>91</v>
      </c>
      <c r="F13">
        <v>39</v>
      </c>
      <c r="G13">
        <v>91</v>
      </c>
      <c r="H13">
        <v>76</v>
      </c>
      <c r="I13">
        <v>376</v>
      </c>
      <c r="J13">
        <v>500</v>
      </c>
      <c r="K13" s="4">
        <f t="shared" si="0"/>
        <v>0.752</v>
      </c>
      <c r="L13" s="4">
        <f t="shared" si="1"/>
        <v>0.248</v>
      </c>
    </row>
    <row r="14" spans="1:12" x14ac:dyDescent="0.25">
      <c r="A14" t="s">
        <v>24</v>
      </c>
      <c r="B14" t="s">
        <v>45</v>
      </c>
      <c r="C14" t="s">
        <v>58</v>
      </c>
      <c r="D14">
        <v>88</v>
      </c>
      <c r="E14">
        <v>11</v>
      </c>
      <c r="F14">
        <v>78</v>
      </c>
      <c r="G14">
        <v>60</v>
      </c>
      <c r="H14">
        <v>95</v>
      </c>
      <c r="I14">
        <v>332</v>
      </c>
      <c r="J14">
        <v>500</v>
      </c>
      <c r="K14" s="4">
        <f t="shared" si="0"/>
        <v>0.66400000000000003</v>
      </c>
      <c r="L14" s="4">
        <f t="shared" si="1"/>
        <v>0.33599999999999997</v>
      </c>
    </row>
    <row r="15" spans="1:12" x14ac:dyDescent="0.25">
      <c r="A15" t="s">
        <v>25</v>
      </c>
      <c r="B15" t="s">
        <v>46</v>
      </c>
      <c r="C15" t="s">
        <v>58</v>
      </c>
      <c r="D15">
        <v>77</v>
      </c>
      <c r="E15">
        <v>66</v>
      </c>
      <c r="F15">
        <v>22</v>
      </c>
      <c r="G15">
        <v>40</v>
      </c>
      <c r="H15">
        <v>83</v>
      </c>
      <c r="I15">
        <v>288</v>
      </c>
      <c r="J15">
        <v>500</v>
      </c>
      <c r="K15" s="4">
        <f t="shared" si="0"/>
        <v>0.57599999999999996</v>
      </c>
      <c r="L15" s="4">
        <f t="shared" si="1"/>
        <v>0.42400000000000004</v>
      </c>
    </row>
    <row r="16" spans="1:12" x14ac:dyDescent="0.25">
      <c r="A16" t="s">
        <v>26</v>
      </c>
      <c r="B16" t="s">
        <v>47</v>
      </c>
      <c r="C16" t="s">
        <v>60</v>
      </c>
      <c r="D16">
        <v>78</v>
      </c>
      <c r="E16">
        <v>73</v>
      </c>
      <c r="F16">
        <v>79</v>
      </c>
      <c r="G16">
        <v>61</v>
      </c>
      <c r="H16">
        <v>57</v>
      </c>
      <c r="I16">
        <v>348</v>
      </c>
      <c r="J16">
        <v>500</v>
      </c>
      <c r="K16" s="4">
        <f t="shared" si="0"/>
        <v>0.69599999999999995</v>
      </c>
      <c r="L16" s="4">
        <f>IF(K16="","",1-K16)</f>
        <v>0.30400000000000005</v>
      </c>
    </row>
    <row r="17" spans="1:12" x14ac:dyDescent="0.25">
      <c r="A17" t="s">
        <v>27</v>
      </c>
      <c r="B17" t="s">
        <v>48</v>
      </c>
      <c r="C17" t="s">
        <v>61</v>
      </c>
      <c r="D17">
        <v>14</v>
      </c>
      <c r="E17">
        <v>45</v>
      </c>
      <c r="F17">
        <v>70</v>
      </c>
      <c r="G17">
        <v>40</v>
      </c>
      <c r="H17">
        <v>45</v>
      </c>
      <c r="I17">
        <v>199</v>
      </c>
      <c r="J17">
        <v>500</v>
      </c>
      <c r="K17" s="4">
        <f t="shared" si="0"/>
        <v>0.39800000000000002</v>
      </c>
      <c r="L17" s="4">
        <f t="shared" si="1"/>
        <v>0.60199999999999998</v>
      </c>
    </row>
    <row r="18" spans="1:12" x14ac:dyDescent="0.25">
      <c r="A18" t="s">
        <v>28</v>
      </c>
      <c r="B18" t="s">
        <v>49</v>
      </c>
      <c r="C18" t="s">
        <v>54</v>
      </c>
      <c r="D18">
        <v>37</v>
      </c>
      <c r="E18">
        <v>69</v>
      </c>
      <c r="F18">
        <v>96</v>
      </c>
      <c r="G18">
        <v>66</v>
      </c>
      <c r="H18">
        <v>88</v>
      </c>
      <c r="I18">
        <v>306</v>
      </c>
      <c r="J18">
        <v>500</v>
      </c>
      <c r="K18" s="4">
        <f t="shared" si="0"/>
        <v>0.61199999999999999</v>
      </c>
      <c r="L18" s="4">
        <f t="shared" si="1"/>
        <v>0.38800000000000001</v>
      </c>
    </row>
    <row r="19" spans="1:12" x14ac:dyDescent="0.25">
      <c r="A19" t="s">
        <v>29</v>
      </c>
      <c r="B19" t="s">
        <v>50</v>
      </c>
      <c r="C19" t="s">
        <v>55</v>
      </c>
      <c r="D19">
        <v>11</v>
      </c>
      <c r="E19">
        <v>37</v>
      </c>
      <c r="F19">
        <v>91</v>
      </c>
      <c r="G19">
        <v>69</v>
      </c>
      <c r="H19">
        <v>85</v>
      </c>
      <c r="I19">
        <v>282</v>
      </c>
      <c r="J19">
        <v>500</v>
      </c>
      <c r="K19" s="4">
        <f t="shared" si="0"/>
        <v>0.56399999999999995</v>
      </c>
      <c r="L19" s="4">
        <f t="shared" si="1"/>
        <v>0.43600000000000005</v>
      </c>
    </row>
    <row r="20" spans="1:12" x14ac:dyDescent="0.25">
      <c r="A20" t="s">
        <v>30</v>
      </c>
      <c r="B20" t="s">
        <v>51</v>
      </c>
      <c r="C20" t="s">
        <v>56</v>
      </c>
      <c r="D20">
        <v>19</v>
      </c>
      <c r="E20">
        <v>34</v>
      </c>
      <c r="F20">
        <v>64</v>
      </c>
      <c r="G20">
        <v>65</v>
      </c>
      <c r="H20">
        <v>70</v>
      </c>
      <c r="I20">
        <v>252</v>
      </c>
      <c r="J20">
        <v>500</v>
      </c>
      <c r="K20" s="4">
        <f t="shared" si="0"/>
        <v>0.504</v>
      </c>
      <c r="L20" s="4">
        <f t="shared" si="1"/>
        <v>0.496</v>
      </c>
    </row>
    <row r="21" spans="1:12" x14ac:dyDescent="0.25">
      <c r="A21" t="s">
        <v>31</v>
      </c>
      <c r="B21" t="s">
        <v>52</v>
      </c>
      <c r="C21" t="s">
        <v>57</v>
      </c>
      <c r="D21">
        <v>93</v>
      </c>
      <c r="E21">
        <v>73</v>
      </c>
      <c r="F21">
        <v>45</v>
      </c>
      <c r="G21">
        <v>19</v>
      </c>
      <c r="H21">
        <v>23</v>
      </c>
      <c r="I21">
        <v>52</v>
      </c>
      <c r="J21">
        <v>500</v>
      </c>
      <c r="K21" s="4">
        <f t="shared" si="0"/>
        <v>0.104</v>
      </c>
      <c r="L21" s="4">
        <f t="shared" si="1"/>
        <v>0.89600000000000002</v>
      </c>
    </row>
    <row r="22" spans="1:12" x14ac:dyDescent="0.25">
      <c r="A22" t="s">
        <v>32</v>
      </c>
      <c r="B22" t="s">
        <v>53</v>
      </c>
      <c r="C22" t="s">
        <v>58</v>
      </c>
      <c r="D22">
        <v>68</v>
      </c>
      <c r="E22">
        <v>43</v>
      </c>
      <c r="F22">
        <v>97</v>
      </c>
      <c r="G22">
        <v>76</v>
      </c>
      <c r="H22">
        <v>23</v>
      </c>
      <c r="I22">
        <v>367</v>
      </c>
      <c r="J22">
        <v>500</v>
      </c>
      <c r="K22" s="4">
        <f>IF(J22=0, "", I22/J22)</f>
        <v>0.73399999999999999</v>
      </c>
      <c r="L22" s="4">
        <f t="shared" si="1"/>
        <v>0.26600000000000001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dc:creator>
  <cp:lastModifiedBy>harshmahida110@gmail.com</cp:lastModifiedBy>
  <dcterms:created xsi:type="dcterms:W3CDTF">2025-07-21T12:41:13Z</dcterms:created>
  <dcterms:modified xsi:type="dcterms:W3CDTF">2025-07-26T16:17:39Z</dcterms:modified>
</cp:coreProperties>
</file>